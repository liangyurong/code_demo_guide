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C:\Users\王祥\Desktop\"/>
    </mc:Choice>
  </mc:AlternateContent>
  <xr:revisionPtr revIDLastSave="0" documentId="13_ncr:1_{2E1BD9FD-61D9-4FA4-A005-3474FF9729C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领发料单 " sheetId="10" r:id="rId1"/>
    <sheet name="工单追溯-工单详情" sheetId="11" r:id="rId2"/>
    <sheet name="工单追溯-BOM" sheetId="1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9" i="10" l="1"/>
  <c r="E19" i="10"/>
  <c r="B19" i="10"/>
  <c r="A19" i="10"/>
  <c r="E10" i="10"/>
  <c r="D10" i="10"/>
  <c r="B10" i="10"/>
  <c r="A10" i="10"/>
  <c r="E9" i="10"/>
  <c r="D9" i="10"/>
  <c r="B9" i="10"/>
  <c r="A9" i="10"/>
  <c r="E8" i="10"/>
  <c r="D8" i="10"/>
  <c r="B8" i="10"/>
  <c r="A8" i="10"/>
  <c r="E7" i="10"/>
  <c r="D7" i="10"/>
  <c r="B7" i="10"/>
  <c r="A7" i="10"/>
  <c r="E6" i="10"/>
  <c r="D6" i="10"/>
  <c r="B6" i="10"/>
  <c r="A6" i="10"/>
  <c r="F9" i="10"/>
  <c r="F6" i="10" l="1"/>
  <c r="F10" i="10"/>
  <c r="F8" i="10"/>
  <c r="F7" i="10"/>
</calcChain>
</file>

<file path=xl/sharedStrings.xml><?xml version="1.0" encoding="utf-8"?>
<sst xmlns="http://schemas.openxmlformats.org/spreadsheetml/2006/main" count="106" uniqueCount="65">
  <si>
    <t>工单名称</t>
  </si>
  <si>
    <t>工单号</t>
  </si>
  <si>
    <t>物料名称</t>
  </si>
  <si>
    <t>物料编号</t>
  </si>
  <si>
    <t>数量</t>
  </si>
  <si>
    <t>单位</t>
  </si>
  <si>
    <t>物料规格</t>
  </si>
  <si>
    <t>关联订单</t>
  </si>
  <si>
    <t>计划员</t>
  </si>
  <si>
    <t>计划员联系方式</t>
  </si>
  <si>
    <t>工单类型</t>
  </si>
  <si>
    <t>工单创建时间</t>
  </si>
  <si>
    <t>计划开始时间</t>
  </si>
  <si>
    <t>计划完成时间</t>
  </si>
  <si>
    <t>制造单元名称</t>
  </si>
  <si>
    <t>工单完成定义</t>
  </si>
  <si>
    <t>工单状态</t>
  </si>
  <si>
    <t>优先级</t>
  </si>
  <si>
    <t>完成数量</t>
  </si>
  <si>
    <t>不合格数量</t>
  </si>
  <si>
    <t>实际开始时间</t>
  </si>
  <si>
    <t>实际完成时间</t>
  </si>
  <si>
    <t>备注</t>
  </si>
  <si>
    <t>BOM单号</t>
  </si>
  <si>
    <t>BOM名称</t>
  </si>
  <si>
    <t>BOM状态</t>
  </si>
  <si>
    <t>物料数量</t>
  </si>
  <si>
    <t>黄欣仪</t>
  </si>
  <si>
    <t>规格</t>
  </si>
  <si>
    <t>中山市泛华精细化学品有限公司</t>
  </si>
  <si>
    <t>批号</t>
  </si>
  <si>
    <t xml:space="preserve">                         领发料单             记录编号：FM-WD-02-01</t>
  </si>
  <si>
    <t>（□原料  □包材  □半成品）</t>
  </si>
  <si>
    <t>领用部门</t>
  </si>
  <si>
    <t>生产部</t>
  </si>
  <si>
    <t>领用日期</t>
  </si>
  <si>
    <t>年   月    日</t>
  </si>
  <si>
    <t>编码</t>
  </si>
  <si>
    <t>请领数量</t>
  </si>
  <si>
    <t>实发数量</t>
  </si>
  <si>
    <t>发料人：</t>
  </si>
  <si>
    <t>领料人：</t>
  </si>
  <si>
    <t>SO20220920007</t>
  </si>
  <si>
    <t>苹果长效补水修护蛋白霜750ml</t>
  </si>
  <si>
    <t>04.DGQZ.624</t>
  </si>
  <si>
    <t>瓶</t>
  </si>
  <si>
    <t>1*24</t>
  </si>
  <si>
    <t>13715642751</t>
  </si>
  <si>
    <t>正常工单</t>
  </si>
  <si>
    <t>洗护成品</t>
  </si>
  <si>
    <t>生效</t>
  </si>
  <si>
    <t>正常</t>
  </si>
  <si>
    <t/>
  </si>
  <si>
    <t>BOM2077</t>
  </si>
  <si>
    <t>02.HF.072</t>
  </si>
  <si>
    <t>丝格无硅油护发精华素</t>
  </si>
  <si>
    <t>空</t>
  </si>
  <si>
    <t>Kg</t>
  </si>
  <si>
    <t>03.QZ.01.011</t>
  </si>
  <si>
    <t>750ml丝格苹果干细胞系列洗护共用瓶</t>
  </si>
  <si>
    <t>个</t>
  </si>
  <si>
    <t>03.QZ.07.001</t>
  </si>
  <si>
    <t>丝格750ml苹果干细胞系列泵头</t>
  </si>
  <si>
    <t>03.QZ.21.003</t>
  </si>
  <si>
    <t>750ml丝格苹果干细胞系列纸箱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</si>
</sst>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000000000000"/>
    <numFmt numFmtId="180" formatCode="yyyy\-mm\-dd\ hh:mm:ss"/>
  </numFmts>
  <fonts count="8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8"/>
      <color theme="1"/>
      <name val="宋体"/>
      <charset val="134"/>
      <scheme val="minor"/>
    </font>
    <font>
      <sz val="12"/>
      <name val="宋体"/>
      <charset val="134"/>
    </font>
    <font>
      <sz val="14"/>
      <color theme="1"/>
      <name val="宋体"/>
      <charset val="134"/>
      <scheme val="minor"/>
    </font>
    <font>
      <b/>
      <sz val="14"/>
      <name val="宋体"/>
      <charset val="134"/>
    </font>
    <font>
      <sz val="11"/>
      <name val="Calibri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4" xfId="0" applyBorder="1">
      <alignment vertical="center"/>
    </xf>
    <xf numFmtId="178" fontId="0" fillId="0" borderId="4" xfId="0" applyNumberFormat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>
      <alignment horizontal="center" vertical="center" wrapText="1"/>
    </xf>
    <xf numFmtId="0" fontId="6" fillId="0" borderId="0" xfId="0" applyFont="1" applyAlignment="1"/>
    <xf numFmtId="180" fontId="6" fillId="0" borderId="0" xfId="0" applyNumberFormat="1" applyFont="1" applyAlignmen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1"/>
  <sheetViews>
    <sheetView tabSelected="1" topLeftCell="A3" workbookViewId="0">
      <selection activeCell="L10" sqref="L10"/>
    </sheetView>
  </sheetViews>
  <sheetFormatPr defaultColWidth="8.88671875" defaultRowHeight="14.4"/>
  <cols>
    <col min="1" max="1" width="12.21875" style="1" customWidth="1"/>
    <col min="2" max="2" width="16.88671875" style="2" customWidth="1"/>
    <col min="3" max="3" width="15.21875" customWidth="1"/>
    <col min="4" max="4" width="8.21875" customWidth="1"/>
    <col min="5" max="5" width="6.77734375" customWidth="1"/>
    <col min="6" max="6" width="9.33203125" customWidth="1"/>
  </cols>
  <sheetData>
    <row r="1" spans="1:8" ht="24" customHeight="1">
      <c r="A1" s="19" t="s">
        <v>29</v>
      </c>
      <c r="B1" s="20"/>
      <c r="C1" s="19"/>
      <c r="D1" s="19"/>
      <c r="E1" s="19"/>
      <c r="F1" s="19"/>
      <c r="G1" s="19"/>
      <c r="H1" s="19"/>
    </row>
    <row r="2" spans="1:8" ht="24" customHeight="1">
      <c r="A2" s="19" t="s">
        <v>31</v>
      </c>
      <c r="B2" s="20"/>
      <c r="C2" s="19"/>
      <c r="D2" s="19"/>
      <c r="E2" s="19"/>
      <c r="F2" s="19"/>
      <c r="G2" s="19"/>
      <c r="H2" s="19"/>
    </row>
    <row r="3" spans="1:8" ht="24" customHeight="1">
      <c r="A3" s="19" t="s">
        <v>32</v>
      </c>
      <c r="B3" s="20"/>
      <c r="C3" s="19"/>
      <c r="D3" s="19"/>
      <c r="E3" s="19"/>
      <c r="F3" s="19"/>
      <c r="G3" s="19"/>
      <c r="H3" s="19"/>
    </row>
    <row r="4" spans="1:8" ht="25.95" customHeight="1">
      <c r="A4" s="21" t="s">
        <v>33</v>
      </c>
      <c r="B4" s="22"/>
      <c r="C4" s="21" t="s">
        <v>34</v>
      </c>
      <c r="D4" s="23"/>
      <c r="E4" s="22"/>
      <c r="F4" s="3" t="s">
        <v>35</v>
      </c>
      <c r="G4" s="18" t="s">
        <v>36</v>
      </c>
      <c r="H4" s="18"/>
    </row>
    <row r="5" spans="1:8" ht="25.95" customHeight="1">
      <c r="A5" s="4" t="s">
        <v>37</v>
      </c>
      <c r="B5" s="5" t="s">
        <v>2</v>
      </c>
      <c r="C5" s="3" t="s">
        <v>30</v>
      </c>
      <c r="D5" s="3" t="s">
        <v>28</v>
      </c>
      <c r="E5" s="3" t="s">
        <v>5</v>
      </c>
      <c r="F5" s="3" t="s">
        <v>38</v>
      </c>
      <c r="G5" s="3" t="s">
        <v>39</v>
      </c>
      <c r="H5" s="3" t="s">
        <v>22</v>
      </c>
    </row>
    <row r="6" spans="1:8" ht="45" customHeight="1">
      <c r="A6" s="6" t="str">
        <f>IF('工单追溯-工单详情'!B2="","",'工单追溯-BOM'!D3)</f>
        <v>03.QZ.01.011</v>
      </c>
      <c r="B6" s="7" t="str">
        <f>IF('工单追溯-工单详情'!B2="","",'工单追溯-BOM'!E3)</f>
        <v>750ml丝格苹果干细胞系列洗护共用瓶</v>
      </c>
      <c r="C6" s="8"/>
      <c r="D6" s="3" t="str">
        <f>IF('工单追溯-工单详情'!B2="","",'工单追溯-BOM'!F3)</f>
        <v>空</v>
      </c>
      <c r="E6" s="9" t="str">
        <f>IF('工单追溯-工单详情'!B2="","",'工单追溯-BOM'!H3)</f>
        <v>个</v>
      </c>
      <c r="F6" s="9" t="e">
        <f>ROUNDUP(IF('工单追溯-工单详情'!B2="","",'工单追溯-BOM'!G3)*#REF!,0)</f>
        <v>#REF!</v>
      </c>
      <c r="G6" s="3"/>
      <c r="H6" s="3"/>
    </row>
    <row r="7" spans="1:8" ht="45" customHeight="1">
      <c r="A7" s="6" t="str">
        <f>IF('工单追溯-工单详情'!B2="","",'工单追溯-BOM'!D4)</f>
        <v>03.QZ.07.001</v>
      </c>
      <c r="B7" s="7" t="str">
        <f>IF('工单追溯-工单详情'!B2="","",'工单追溯-BOM'!E4)</f>
        <v>丝格750ml苹果干细胞系列泵头</v>
      </c>
      <c r="C7" s="8"/>
      <c r="D7" s="3" t="str">
        <f>IF('工单追溯-工单详情'!B2="","",'工单追溯-BOM'!F4)</f>
        <v>空</v>
      </c>
      <c r="E7" s="9" t="str">
        <f>IF('工单追溯-工单详情'!B2="","",'工单追溯-BOM'!H4)</f>
        <v>个</v>
      </c>
      <c r="F7" s="9" t="e">
        <f>ROUNDUP(IF('工单追溯-工单详情'!B2="","",'工单追溯-BOM'!G4)*#REF!,0)</f>
        <v>#REF!</v>
      </c>
      <c r="G7" s="3"/>
      <c r="H7" s="3"/>
    </row>
    <row r="8" spans="1:8" ht="45" customHeight="1">
      <c r="A8" s="6" t="str">
        <f>IF('工单追溯-工单详情'!B2="","",'工单追溯-BOM'!D5)</f>
        <v>03.QZ.21.003</v>
      </c>
      <c r="B8" s="7" t="str">
        <f>IF('工单追溯-工单详情'!B2="","",'工单追溯-BOM'!E5)</f>
        <v>750ml丝格苹果干细胞系列纸箱</v>
      </c>
      <c r="C8" s="8"/>
      <c r="D8" s="3" t="str">
        <f>IF('工单追溯-工单详情'!B2="","",'工单追溯-BOM'!F5)</f>
        <v>空</v>
      </c>
      <c r="E8" s="9" t="str">
        <f>IF('工单追溯-工单详情'!B2="","",'工单追溯-BOM'!H5)</f>
        <v>个</v>
      </c>
      <c r="F8" s="9" t="e">
        <f>ROUNDUP(IF('工单追溯-工单详情'!B2="","",'工单追溯-BOM'!G5)*#REF!,0)</f>
        <v>#REF!</v>
      </c>
      <c r="G8" s="3"/>
      <c r="H8" s="3"/>
    </row>
    <row r="9" spans="1:8" ht="45" customHeight="1">
      <c r="A9" s="6">
        <f>IF('工单追溯-工单详情'!B2="","",'工单追溯-BOM'!D6)</f>
        <v>0</v>
      </c>
      <c r="B9" s="7">
        <f>IF('工单追溯-工单详情'!B2="","",'工单追溯-BOM'!E6)</f>
        <v>0</v>
      </c>
      <c r="C9" s="8"/>
      <c r="D9" s="3">
        <f>IF('工单追溯-工单详情'!B2="","",'工单追溯-BOM'!F6)</f>
        <v>0</v>
      </c>
      <c r="E9" s="9">
        <f>IF('工单追溯-工单详情'!B2="","",'工单追溯-BOM'!H6)</f>
        <v>0</v>
      </c>
      <c r="F9" s="9" t="e">
        <f>ROUNDUP(IF('工单追溯-工单详情'!B2="","",'工单追溯-BOM'!G6)*#REF!,0)</f>
        <v>#REF!</v>
      </c>
      <c r="G9" s="3"/>
      <c r="H9" s="3"/>
    </row>
    <row r="10" spans="1:8" ht="45" customHeight="1">
      <c r="A10" s="6">
        <f>IF('工单追溯-工单详情'!B2="","",'工单追溯-BOM'!D7)</f>
        <v>0</v>
      </c>
      <c r="B10" s="7">
        <f>IF('工单追溯-工单详情'!B2="","",'工单追溯-BOM'!E7)</f>
        <v>0</v>
      </c>
      <c r="C10" s="8"/>
      <c r="D10" s="3">
        <f>IF('工单追溯-工单详情'!B2="","",'工单追溯-BOM'!F7)</f>
        <v>0</v>
      </c>
      <c r="E10" s="9">
        <f>IF('工单追溯-工单详情'!B2="","",'工单追溯-BOM'!H7)</f>
        <v>0</v>
      </c>
      <c r="F10" s="9" t="e">
        <f>ROUNDUP(IF('工单追溯-工单详情'!B2="","",'工单追溯-BOM'!G7)*#REF!,0)</f>
        <v>#REF!</v>
      </c>
      <c r="G10" s="3"/>
      <c r="H10" s="3"/>
    </row>
    <row r="11" spans="1:8" ht="39" customHeight="1">
      <c r="A11" s="24" t="s">
        <v>40</v>
      </c>
      <c r="B11" s="25"/>
      <c r="C11" s="26"/>
      <c r="D11" s="26"/>
      <c r="E11" s="26" t="s">
        <v>41</v>
      </c>
      <c r="F11" s="26"/>
      <c r="G11" s="26"/>
      <c r="H11" s="26"/>
    </row>
    <row r="12" spans="1:8">
      <c r="A12" s="10"/>
      <c r="B12" s="11"/>
      <c r="C12" s="12"/>
      <c r="D12" s="12"/>
      <c r="E12" s="12"/>
      <c r="F12" s="12"/>
      <c r="G12" s="12"/>
      <c r="H12" s="12"/>
    </row>
    <row r="14" spans="1:8" ht="31.05" customHeight="1">
      <c r="A14" s="19" t="s">
        <v>29</v>
      </c>
      <c r="B14" s="20"/>
      <c r="C14" s="19"/>
      <c r="D14" s="19"/>
      <c r="E14" s="19"/>
      <c r="F14" s="19"/>
      <c r="G14" s="19"/>
      <c r="H14" s="19"/>
    </row>
    <row r="15" spans="1:8" ht="21" customHeight="1">
      <c r="A15" s="19" t="s">
        <v>31</v>
      </c>
      <c r="B15" s="20"/>
      <c r="C15" s="19"/>
      <c r="D15" s="19"/>
      <c r="E15" s="19"/>
      <c r="F15" s="19"/>
      <c r="G15" s="19"/>
      <c r="H15" s="19"/>
    </row>
    <row r="16" spans="1:8" ht="21" customHeight="1">
      <c r="A16" s="27" t="s">
        <v>32</v>
      </c>
      <c r="B16" s="28"/>
      <c r="C16" s="29"/>
      <c r="D16" s="29"/>
      <c r="E16" s="29"/>
      <c r="F16" s="29"/>
      <c r="G16" s="29"/>
      <c r="H16" s="29"/>
    </row>
    <row r="17" spans="1:8" ht="25.05" customHeight="1">
      <c r="A17" s="21" t="s">
        <v>33</v>
      </c>
      <c r="B17" s="22"/>
      <c r="C17" s="21" t="s">
        <v>34</v>
      </c>
      <c r="D17" s="23"/>
      <c r="E17" s="22"/>
      <c r="F17" s="3" t="s">
        <v>35</v>
      </c>
      <c r="G17" s="18" t="s">
        <v>36</v>
      </c>
      <c r="H17" s="18"/>
    </row>
    <row r="18" spans="1:8" ht="25.05" customHeight="1">
      <c r="A18" s="4" t="s">
        <v>37</v>
      </c>
      <c r="B18" s="5" t="s">
        <v>2</v>
      </c>
      <c r="C18" s="3" t="s">
        <v>30</v>
      </c>
      <c r="D18" s="3" t="s">
        <v>28</v>
      </c>
      <c r="E18" s="3" t="s">
        <v>5</v>
      </c>
      <c r="F18" s="3" t="s">
        <v>38</v>
      </c>
      <c r="G18" s="3" t="s">
        <v>39</v>
      </c>
      <c r="H18" s="3" t="s">
        <v>22</v>
      </c>
    </row>
    <row r="19" spans="1:8" ht="52.05" customHeight="1">
      <c r="A19" s="13" t="str">
        <f>IF('工单追溯-工单详情'!B2="","",'工单追溯-BOM'!D2)</f>
        <v>02.HF.072</v>
      </c>
      <c r="B19" s="7" t="str">
        <f>IF('工单追溯-工单详情'!B2="","",'工单追溯-BOM'!E2)</f>
        <v>丝格无硅油护发精华素</v>
      </c>
      <c r="C19" s="14"/>
      <c r="D19" s="3"/>
      <c r="E19" s="9" t="str">
        <f>IF('工单追溯-工单详情'!B2="","",'工单追溯-BOM'!H2)</f>
        <v>Kg</v>
      </c>
      <c r="F19" s="9" t="e">
        <f>ROUNDUP(IF('工单追溯-工单详情'!B2="","",'工单追溯-BOM'!G2)*#REF!,0)</f>
        <v>#REF!</v>
      </c>
      <c r="G19" s="3"/>
      <c r="H19" s="3"/>
    </row>
    <row r="20" spans="1:8" ht="30" customHeight="1">
      <c r="A20" s="24" t="s">
        <v>40</v>
      </c>
      <c r="B20" s="25"/>
      <c r="C20" s="26"/>
      <c r="D20" s="26"/>
      <c r="E20" s="26" t="s">
        <v>41</v>
      </c>
      <c r="F20" s="26"/>
      <c r="G20" s="26"/>
      <c r="H20" s="26"/>
    </row>
    <row r="21" spans="1:8" ht="30" customHeight="1"/>
  </sheetData>
  <mergeCells count="16">
    <mergeCell ref="A17:B17"/>
    <mergeCell ref="C17:E17"/>
    <mergeCell ref="G17:H17"/>
    <mergeCell ref="A20:D20"/>
    <mergeCell ref="E20:H20"/>
    <mergeCell ref="A11:D11"/>
    <mergeCell ref="E11:H11"/>
    <mergeCell ref="A14:H14"/>
    <mergeCell ref="A15:H15"/>
    <mergeCell ref="A16:H16"/>
    <mergeCell ref="A1:H1"/>
    <mergeCell ref="A2:H2"/>
    <mergeCell ref="A3:H3"/>
    <mergeCell ref="A4:B4"/>
    <mergeCell ref="C4:E4"/>
    <mergeCell ref="G4:H4"/>
  </mergeCells>
  <phoneticPr fontId="7" type="noConversion"/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2"/>
  <sheetViews>
    <sheetView workbookViewId="0"/>
  </sheetViews>
  <sheetFormatPr defaultRowHeight="14.4"/>
  <sheetData>
    <row r="1" spans="1:23" ht="69.599999999999994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>
      <c r="A2" s="16" t="s">
        <v>42</v>
      </c>
      <c r="B2" s="16" t="s">
        <v>42</v>
      </c>
      <c r="C2" s="16" t="s">
        <v>43</v>
      </c>
      <c r="D2" s="16" t="s">
        <v>44</v>
      </c>
      <c r="E2" s="16">
        <v>96</v>
      </c>
      <c r="F2" s="16" t="s">
        <v>45</v>
      </c>
      <c r="G2" s="16" t="s">
        <v>46</v>
      </c>
      <c r="H2" s="16"/>
      <c r="I2" s="16" t="s">
        <v>27</v>
      </c>
      <c r="J2" s="16" t="s">
        <v>47</v>
      </c>
      <c r="K2" s="16" t="s">
        <v>48</v>
      </c>
      <c r="L2" s="17">
        <v>44824.703356481485</v>
      </c>
      <c r="M2" s="17">
        <v>44825.3125</v>
      </c>
      <c r="N2" s="17">
        <v>44832.729166666664</v>
      </c>
      <c r="O2" s="16" t="s">
        <v>49</v>
      </c>
      <c r="P2" s="16"/>
      <c r="Q2" s="16" t="s">
        <v>50</v>
      </c>
      <c r="R2" s="16" t="s">
        <v>51</v>
      </c>
      <c r="S2" s="16">
        <v>0</v>
      </c>
      <c r="T2" s="16">
        <v>0</v>
      </c>
      <c r="U2" s="16"/>
      <c r="V2" s="16"/>
      <c r="W2" s="16" t="s">
        <v>52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5"/>
  <sheetViews>
    <sheetView workbookViewId="0"/>
  </sheetViews>
  <sheetFormatPr defaultRowHeight="14.4"/>
  <sheetData>
    <row r="1" spans="1:8" ht="34.799999999999997">
      <c r="A1" s="15" t="s">
        <v>23</v>
      </c>
      <c r="B1" s="15" t="s">
        <v>24</v>
      </c>
      <c r="C1" s="15" t="s">
        <v>25</v>
      </c>
      <c r="D1" s="15" t="s">
        <v>3</v>
      </c>
      <c r="E1" s="15" t="s">
        <v>2</v>
      </c>
      <c r="F1" s="15" t="s">
        <v>6</v>
      </c>
      <c r="G1" s="15" t="s">
        <v>26</v>
      </c>
      <c r="H1" s="15" t="s">
        <v>5</v>
      </c>
    </row>
    <row r="2" spans="1:8">
      <c r="A2" s="16" t="s">
        <v>53</v>
      </c>
      <c r="B2" s="16" t="s">
        <v>53</v>
      </c>
      <c r="C2" s="16" t="s">
        <v>50</v>
      </c>
      <c r="D2" s="16" t="s">
        <v>54</v>
      </c>
      <c r="E2" s="16" t="s">
        <v>55</v>
      </c>
      <c r="F2" s="16" t="s">
        <v>56</v>
      </c>
      <c r="G2" s="16">
        <v>0.75</v>
      </c>
      <c r="H2" s="16" t="s">
        <v>57</v>
      </c>
    </row>
    <row r="3" spans="1:8">
      <c r="A3" s="16" t="s">
        <v>53</v>
      </c>
      <c r="B3" s="16" t="s">
        <v>53</v>
      </c>
      <c r="C3" s="16" t="s">
        <v>50</v>
      </c>
      <c r="D3" s="16" t="s">
        <v>58</v>
      </c>
      <c r="E3" s="16" t="s">
        <v>59</v>
      </c>
      <c r="F3" s="16" t="s">
        <v>56</v>
      </c>
      <c r="G3" s="16">
        <v>1</v>
      </c>
      <c r="H3" s="16" t="s">
        <v>60</v>
      </c>
    </row>
    <row r="4" spans="1:8">
      <c r="A4" s="16" t="s">
        <v>53</v>
      </c>
      <c r="B4" s="16" t="s">
        <v>53</v>
      </c>
      <c r="C4" s="16" t="s">
        <v>50</v>
      </c>
      <c r="D4" s="16" t="s">
        <v>61</v>
      </c>
      <c r="E4" s="16" t="s">
        <v>62</v>
      </c>
      <c r="F4" s="16" t="s">
        <v>56</v>
      </c>
      <c r="G4" s="16">
        <v>1</v>
      </c>
      <c r="H4" s="16" t="s">
        <v>60</v>
      </c>
    </row>
    <row r="5" spans="1:8">
      <c r="A5" s="16" t="s">
        <v>53</v>
      </c>
      <c r="B5" s="16" t="s">
        <v>53</v>
      </c>
      <c r="C5" s="16" t="s">
        <v>50</v>
      </c>
      <c r="D5" s="16" t="s">
        <v>63</v>
      </c>
      <c r="E5" s="16" t="s">
        <v>64</v>
      </c>
      <c r="F5" s="16" t="s">
        <v>56</v>
      </c>
      <c r="G5" s="16">
        <v>4.1666700000000001E-2</v>
      </c>
      <c r="H5" s="16" t="s">
        <v>60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领发料单 </vt:lpstr>
      <vt:lpstr>工单追溯-工单详情</vt:lpstr>
      <vt:lpstr>工单追溯-BOM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伍</dc:creator>
  <cp:lastModifiedBy>王祥</cp:lastModifiedBy>
  <dcterms:created xsi:type="dcterms:W3CDTF">2022-08-29T01:48:00Z</dcterms:created>
  <dcterms:modified xsi:type="dcterms:W3CDTF">2022-09-21T04:53:45Z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2DCFDAC92F8345618EE592DC56D9A8B5</vt:lpwstr>
  </property>
  <property fmtid="{D5CDD505-2E9C-101B-9397-08002B2CF9AE}" pid="3" name="KSOProductBuildVer">
    <vt:lpwstr>2052-11.1.0.12313</vt:lpwstr>
  </property>
</Properties>
</file>